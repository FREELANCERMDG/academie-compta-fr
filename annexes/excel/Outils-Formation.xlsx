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ivi dossiers" sheetId="1" state="visible" r:id="rId1"/>
    <sheet name="Tableau de bord" sheetId="2" state="visible" r:id="rId2"/>
    <sheet name="Rapprochement" sheetId="3" state="visible" r:id="rId3"/>
    <sheet name="Balance agee" sheetId="4" state="visible" r:id="rId4"/>
    <sheet name="Pieces manquantes" sheetId="5" state="visible" r:id="rId5"/>
    <sheet name="Immobilisations" sheetId="6" state="visible" r:id="rId6"/>
    <sheet name="Suivi 471" sheetId="7" state="visible" r:id="rId7"/>
    <sheet name="Controle paie" sheetId="8" state="visible" r:id="rId8"/>
    <sheet name="Carnet erreurs" sheetId="9" state="visible" r:id="rId9"/>
    <sheet name="Plannin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55555"/>
      <sz val="9"/>
    </font>
    <font>
      <b val="1"/>
      <color rgb="00FFFFFF"/>
      <sz val="11"/>
    </font>
    <font>
      <b val="1"/>
      <color rgb="001F4E78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164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4" customWidth="1" min="4" max="4"/>
    <col width="12" customWidth="1" min="5" max="5"/>
    <col width="12" customWidth="1" min="6" max="6"/>
    <col width="10" customWidth="1" min="7" max="7"/>
    <col width="13" customWidth="1" min="8" max="8"/>
    <col width="10" customWidth="1" min="9" max="9"/>
    <col width="12" customWidth="1" min="10" max="10"/>
    <col width="11" customWidth="1" min="11" max="11"/>
    <col width="18" customWidth="1" min="12" max="12"/>
    <col width="18" customWidth="1" min="13" max="13"/>
    <col width="12" customWidth="1" min="14" max="14"/>
    <col width="13" customWidth="1" min="15" max="15"/>
  </cols>
  <sheetData>
    <row r="1">
      <c r="A1" s="1" t="inlineStr">
        <is>
          <t>SUIVI DE DOSSIER MENSUEL</t>
        </is>
      </c>
    </row>
    <row r="2">
      <c r="A2" s="2" t="inlineStr">
        <is>
          <t>Statuts: A FAIRE / EN COURS / BLOQUE / A VALIDER / TERMINE</t>
        </is>
      </c>
    </row>
    <row r="3">
      <c r="A3" s="3" t="inlineStr">
        <is>
          <t>Client</t>
        </is>
      </c>
      <c r="B3" s="3" t="inlineStr">
        <is>
          <t>Mois</t>
        </is>
      </c>
      <c r="C3" s="3" t="inlineStr">
        <is>
          <t>Pieces recues</t>
        </is>
      </c>
      <c r="D3" s="3" t="inlineStr">
        <is>
          <t>Releves complets</t>
        </is>
      </c>
      <c r="E3" s="3" t="inlineStr">
        <is>
          <t>Saisie achats</t>
        </is>
      </c>
      <c r="F3" s="3" t="inlineStr">
        <is>
          <t>Saisie ventes</t>
        </is>
      </c>
      <c r="G3" s="3" t="inlineStr">
        <is>
          <t>Banque</t>
        </is>
      </c>
      <c r="H3" s="3" t="inlineStr">
        <is>
          <t>Rapprochement</t>
        </is>
      </c>
      <c r="I3" s="3" t="inlineStr">
        <is>
          <t>Lettrage</t>
        </is>
      </c>
      <c r="J3" s="3" t="inlineStr">
        <is>
          <t>TVA preparee</t>
        </is>
      </c>
      <c r="K3" s="3" t="inlineStr">
        <is>
          <t>TVA validee</t>
        </is>
      </c>
      <c r="L3" s="3" t="inlineStr">
        <is>
          <t>Pieces manquantes</t>
        </is>
      </c>
      <c r="M3" s="3" t="inlineStr">
        <is>
          <t>Anomalies</t>
        </is>
      </c>
      <c r="N3" s="3" t="inlineStr">
        <is>
          <t>Statut</t>
        </is>
      </c>
      <c r="O3" s="3" t="inlineStr">
        <is>
          <t>Date livraison</t>
        </is>
      </c>
    </row>
    <row r="4">
      <c r="A4" s="4" t="inlineStr">
        <is>
          <t>(exemple) CLIENT MARTIN</t>
        </is>
      </c>
      <c r="B4" s="4" t="inlineStr">
        <is>
          <t>2026-03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inlineStr">
        <is>
          <t>EN COURS</t>
        </is>
      </c>
      <c r="O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</sheetData>
  <conditionalFormatting sqref="N4:N43">
    <cfRule type="cellIs" priority="1" operator="equal" dxfId="0">
      <formula>"TERMINE"</formula>
    </cfRule>
    <cfRule type="cellIs" priority="2" operator="equal" dxfId="1">
      <formula>"BLOQUE"</formula>
    </cfRule>
  </conditionalFormatting>
  <dataValidations count="2">
    <dataValidation sqref="N4:N43" showDropDown="0" showInputMessage="0" showErrorMessage="0" allowBlank="1" type="list">
      <formula1>"A FAIRE,EN COURS,BLOQUE,A VALIDER,TERMINE"</formula1>
    </dataValidation>
    <dataValidation sqref="C4:C43 D4:D43" showDropDown="0" showInputMessage="0" showErrorMessage="0" allowBlank="1" type="list">
      <formula1>"O,N"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0" customWidth="1" min="4" max="4"/>
    <col width="10" customWidth="1" min="5" max="5"/>
    <col width="8" customWidth="1" min="6" max="6"/>
    <col width="12" customWidth="1" min="7" max="7"/>
    <col width="9" customWidth="1" min="8" max="8"/>
    <col width="12" customWidth="1" min="9" max="9"/>
    <col width="18" customWidth="1" min="10" max="10"/>
    <col width="14" customWidth="1" min="11" max="11"/>
  </cols>
  <sheetData>
    <row r="1">
      <c r="A1" s="1" t="inlineStr">
        <is>
          <t>TABLEAU DE BORD DE PRODUCTION (KPI)</t>
        </is>
      </c>
    </row>
    <row r="2">
      <c r="A2" s="2" t="inlineStr">
        <is>
          <t>Cible taux de retour &lt; 5%</t>
        </is>
      </c>
    </row>
    <row r="3">
      <c r="A3" s="3" t="inlineStr">
        <is>
          <t>Client</t>
        </is>
      </c>
      <c r="B3" s="3" t="inlineStr">
        <is>
          <t>Echeance TVA</t>
        </is>
      </c>
      <c r="C3" s="3" t="inlineStr">
        <is>
          <t>Pieces recues le</t>
        </is>
      </c>
      <c r="D3" s="3" t="inlineStr">
        <is>
          <t>Saisie</t>
        </is>
      </c>
      <c r="E3" s="3" t="inlineStr">
        <is>
          <t>Banque</t>
        </is>
      </c>
      <c r="F3" s="3" t="inlineStr">
        <is>
          <t>TVA</t>
        </is>
      </c>
      <c r="G3" s="3" t="inlineStr">
        <is>
          <t>Livre le</t>
        </is>
      </c>
      <c r="H3" s="3" t="inlineStr">
        <is>
          <t>Valide</t>
        </is>
      </c>
      <c r="I3" s="3" t="inlineStr">
        <is>
          <t>Retour (O/N)</t>
        </is>
      </c>
      <c r="J3" s="3" t="inlineStr">
        <is>
          <t>Anomalies</t>
        </is>
      </c>
      <c r="K3" s="3" t="inlineStr">
        <is>
          <t>Temps passe (h)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</row>
    <row r="45">
      <c r="A45" s="5" t="inlineStr">
        <is>
          <t>INDICATEURS</t>
        </is>
      </c>
    </row>
    <row r="46">
      <c r="A46" t="inlineStr">
        <is>
          <t>Dossiers livres</t>
        </is>
      </c>
      <c r="B46">
        <f>COUNTA(G4:G43)</f>
        <v/>
      </c>
    </row>
    <row r="47">
      <c r="A47" t="inlineStr">
        <is>
          <t>Dossiers avec retour</t>
        </is>
      </c>
      <c r="B47">
        <f>COUNTIF(I4:I43,"O")</f>
        <v/>
      </c>
    </row>
    <row r="48">
      <c r="A48" t="inlineStr">
        <is>
          <t>Taux de retour</t>
        </is>
      </c>
      <c r="B48" s="6">
        <f>IF(B46=0,0,B47/B46)</f>
        <v/>
      </c>
    </row>
    <row r="49">
      <c r="A49" t="inlineStr">
        <is>
          <t>Total heures</t>
        </is>
      </c>
      <c r="B49">
        <f>SUM(K4:K43)</f>
        <v/>
      </c>
    </row>
  </sheetData>
  <dataValidations count="1">
    <dataValidation sqref="I4:I43" showDropDown="0" showInputMessage="0" showErrorMessage="0" allowBlank="1" type="list">
      <formula1>"O,N"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2" customWidth="1" min="3" max="3"/>
  </cols>
  <sheetData>
    <row r="1">
      <c r="A1" s="1" t="inlineStr">
        <is>
          <t>ETAT DE RAPPROCHEMENT BANCAIRE</t>
        </is>
      </c>
    </row>
    <row r="2">
      <c r="A2" s="2" t="inlineStr">
        <is>
          <t>Renseigner les soldes ; le controle indique si le rapprochement est equilibre.</t>
        </is>
      </c>
    </row>
    <row r="3">
      <c r="A3" s="7" t="inlineStr"/>
      <c r="B3" s="7" t="inlineStr">
        <is>
          <t>Cote COMPTA (512)</t>
        </is>
      </c>
      <c r="C3" s="7" t="inlineStr">
        <is>
          <t>Cote BANQUE (releve)</t>
        </is>
      </c>
    </row>
    <row r="4">
      <c r="A4" t="inlineStr">
        <is>
          <t>Solde de depart</t>
        </is>
      </c>
      <c r="B4" t="n">
        <v>0</v>
      </c>
      <c r="C4" t="n">
        <v>0</v>
      </c>
    </row>
    <row r="5">
      <c r="A5" t="inlineStr">
        <is>
          <t>(+) Encaissements non credites</t>
        </is>
      </c>
      <c r="B5" t="n">
        <v>0</v>
      </c>
      <c r="C5" t="n">
        <v>0</v>
      </c>
    </row>
    <row r="6">
      <c r="A6" t="inlineStr">
        <is>
          <t>(-) Cheques emis non debites</t>
        </is>
      </c>
      <c r="B6" t="n">
        <v>0</v>
      </c>
      <c r="C6" t="n">
        <v>0</v>
      </c>
    </row>
    <row r="7">
      <c r="A7" t="inlineStr">
        <is>
          <t>(+) Operations sur releve non saisies</t>
        </is>
      </c>
      <c r="B7" t="n">
        <v>0</v>
      </c>
      <c r="C7" t="n">
        <v>0</v>
      </c>
    </row>
    <row r="8">
      <c r="A8" s="8" t="inlineStr">
        <is>
          <t>SOLDE CORRIGE</t>
        </is>
      </c>
      <c r="B8">
        <f>B4</f>
        <v/>
      </c>
      <c r="C8">
        <f>C4+C5-C6+C7</f>
        <v/>
      </c>
    </row>
    <row r="9">
      <c r="A9" s="8" t="inlineStr">
        <is>
          <t>CONTROLE</t>
        </is>
      </c>
      <c r="B9">
        <f>IF(ROUND(B8-C8,2)=0,"OK : equilibre","ECART A CHERCHER")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BALANCE AGEE (clients / fournisseurs)</t>
        </is>
      </c>
    </row>
    <row r="2">
      <c r="A2" s="2" t="inlineStr">
        <is>
          <t>Relancer si &gt; 60 j</t>
        </is>
      </c>
    </row>
    <row r="3">
      <c r="A3" s="3" t="inlineStr">
        <is>
          <t>Tiers</t>
        </is>
      </c>
      <c r="B3" s="3" t="inlineStr">
        <is>
          <t>Total du</t>
        </is>
      </c>
      <c r="C3" s="3" t="inlineStr">
        <is>
          <t>0-30 j</t>
        </is>
      </c>
      <c r="D3" s="3" t="inlineStr">
        <is>
          <t>31-60 j</t>
        </is>
      </c>
      <c r="E3" s="3" t="inlineStr">
        <is>
          <t>61-90 j</t>
        </is>
      </c>
      <c r="F3" s="3" t="inlineStr">
        <is>
          <t>&gt; 90 j</t>
        </is>
      </c>
      <c r="G3" s="3" t="inlineStr">
        <is>
          <t>Statut</t>
        </is>
      </c>
    </row>
    <row r="4">
      <c r="A4" s="4" t="n"/>
      <c r="B4" s="4">
        <f>SUM(C4:F4)</f>
        <v/>
      </c>
      <c r="C4" s="4" t="n"/>
      <c r="D4" s="4" t="n"/>
      <c r="E4" s="4" t="n"/>
      <c r="F4" s="4" t="n"/>
      <c r="G4" s="4">
        <f>IF(F4&gt;0,"A RELANCER (&gt;90j)",IF(E4&gt;0,"A SURVEILLER",""))</f>
        <v/>
      </c>
    </row>
    <row r="5">
      <c r="A5" s="4" t="n"/>
      <c r="B5" s="4">
        <f>SUM(C5:F5)</f>
        <v/>
      </c>
      <c r="C5" s="4" t="n"/>
      <c r="D5" s="4" t="n"/>
      <c r="E5" s="4" t="n"/>
      <c r="F5" s="4" t="n"/>
      <c r="G5" s="4">
        <f>IF(F5&gt;0,"A RELANCER (&gt;90j)",IF(E5&gt;0,"A SURVEILLER",""))</f>
        <v/>
      </c>
    </row>
    <row r="6">
      <c r="A6" s="4" t="n"/>
      <c r="B6" s="4">
        <f>SUM(C6:F6)</f>
        <v/>
      </c>
      <c r="C6" s="4" t="n"/>
      <c r="D6" s="4" t="n"/>
      <c r="E6" s="4" t="n"/>
      <c r="F6" s="4" t="n"/>
      <c r="G6" s="4">
        <f>IF(F6&gt;0,"A RELANCER (&gt;90j)",IF(E6&gt;0,"A SURVEILLER",""))</f>
        <v/>
      </c>
    </row>
    <row r="7">
      <c r="A7" s="4" t="n"/>
      <c r="B7" s="4">
        <f>SUM(C7:F7)</f>
        <v/>
      </c>
      <c r="C7" s="4" t="n"/>
      <c r="D7" s="4" t="n"/>
      <c r="E7" s="4" t="n"/>
      <c r="F7" s="4" t="n"/>
      <c r="G7" s="4">
        <f>IF(F7&gt;0,"A RELANCER (&gt;90j)",IF(E7&gt;0,"A SURVEILLER",""))</f>
        <v/>
      </c>
    </row>
    <row r="8">
      <c r="A8" s="4" t="n"/>
      <c r="B8" s="4">
        <f>SUM(C8:F8)</f>
        <v/>
      </c>
      <c r="C8" s="4" t="n"/>
      <c r="D8" s="4" t="n"/>
      <c r="E8" s="4" t="n"/>
      <c r="F8" s="4" t="n"/>
      <c r="G8" s="4">
        <f>IF(F8&gt;0,"A RELANCER (&gt;90j)",IF(E8&gt;0,"A SURVEILLER",""))</f>
        <v/>
      </c>
    </row>
    <row r="9">
      <c r="A9" s="4" t="n"/>
      <c r="B9" s="4">
        <f>SUM(C9:F9)</f>
        <v/>
      </c>
      <c r="C9" s="4" t="n"/>
      <c r="D9" s="4" t="n"/>
      <c r="E9" s="4" t="n"/>
      <c r="F9" s="4" t="n"/>
      <c r="G9" s="4">
        <f>IF(F9&gt;0,"A RELANCER (&gt;90j)",IF(E9&gt;0,"A SURVEILLER",""))</f>
        <v/>
      </c>
    </row>
    <row r="10">
      <c r="A10" s="4" t="n"/>
      <c r="B10" s="4">
        <f>SUM(C10:F10)</f>
        <v/>
      </c>
      <c r="C10" s="4" t="n"/>
      <c r="D10" s="4" t="n"/>
      <c r="E10" s="4" t="n"/>
      <c r="F10" s="4" t="n"/>
      <c r="G10" s="4">
        <f>IF(F10&gt;0,"A RELANCER (&gt;90j)",IF(E10&gt;0,"A SURVEILLER",""))</f>
        <v/>
      </c>
    </row>
    <row r="11">
      <c r="A11" s="4" t="n"/>
      <c r="B11" s="4">
        <f>SUM(C11:F11)</f>
        <v/>
      </c>
      <c r="C11" s="4" t="n"/>
      <c r="D11" s="4" t="n"/>
      <c r="E11" s="4" t="n"/>
      <c r="F11" s="4" t="n"/>
      <c r="G11" s="4">
        <f>IF(F11&gt;0,"A RELANCER (&gt;90j)",IF(E11&gt;0,"A SURVEILLER",""))</f>
        <v/>
      </c>
    </row>
    <row r="12">
      <c r="A12" s="4" t="n"/>
      <c r="B12" s="4">
        <f>SUM(C12:F12)</f>
        <v/>
      </c>
      <c r="C12" s="4" t="n"/>
      <c r="D12" s="4" t="n"/>
      <c r="E12" s="4" t="n"/>
      <c r="F12" s="4" t="n"/>
      <c r="G12" s="4">
        <f>IF(F12&gt;0,"A RELANCER (&gt;90j)",IF(E12&gt;0,"A SURVEILLER",""))</f>
        <v/>
      </c>
    </row>
    <row r="13">
      <c r="A13" s="4" t="n"/>
      <c r="B13" s="4">
        <f>SUM(C13:F13)</f>
        <v/>
      </c>
      <c r="C13" s="4" t="n"/>
      <c r="D13" s="4" t="n"/>
      <c r="E13" s="4" t="n"/>
      <c r="F13" s="4" t="n"/>
      <c r="G13" s="4">
        <f>IF(F13&gt;0,"A RELANCER (&gt;90j)",IF(E13&gt;0,"A SURVEILLER",""))</f>
        <v/>
      </c>
    </row>
    <row r="14">
      <c r="A14" s="4" t="n"/>
      <c r="B14" s="4">
        <f>SUM(C14:F14)</f>
        <v/>
      </c>
      <c r="C14" s="4" t="n"/>
      <c r="D14" s="4" t="n"/>
      <c r="E14" s="4" t="n"/>
      <c r="F14" s="4" t="n"/>
      <c r="G14" s="4">
        <f>IF(F14&gt;0,"A RELANCER (&gt;90j)",IF(E14&gt;0,"A SURVEILLER",""))</f>
        <v/>
      </c>
    </row>
    <row r="15">
      <c r="A15" s="4" t="n"/>
      <c r="B15" s="4">
        <f>SUM(C15:F15)</f>
        <v/>
      </c>
      <c r="C15" s="4" t="n"/>
      <c r="D15" s="4" t="n"/>
      <c r="E15" s="4" t="n"/>
      <c r="F15" s="4" t="n"/>
      <c r="G15" s="4">
        <f>IF(F15&gt;0,"A RELANCER (&gt;90j)",IF(E15&gt;0,"A SURVEILLER",""))</f>
        <v/>
      </c>
    </row>
    <row r="16">
      <c r="A16" s="4" t="n"/>
      <c r="B16" s="4">
        <f>SUM(C16:F16)</f>
        <v/>
      </c>
      <c r="C16" s="4" t="n"/>
      <c r="D16" s="4" t="n"/>
      <c r="E16" s="4" t="n"/>
      <c r="F16" s="4" t="n"/>
      <c r="G16" s="4">
        <f>IF(F16&gt;0,"A RELANCER (&gt;90j)",IF(E16&gt;0,"A SURVEILLER",""))</f>
        <v/>
      </c>
    </row>
    <row r="17">
      <c r="A17" s="4" t="n"/>
      <c r="B17" s="4">
        <f>SUM(C17:F17)</f>
        <v/>
      </c>
      <c r="C17" s="4" t="n"/>
      <c r="D17" s="4" t="n"/>
      <c r="E17" s="4" t="n"/>
      <c r="F17" s="4" t="n"/>
      <c r="G17" s="4">
        <f>IF(F17&gt;0,"A RELANCER (&gt;90j)",IF(E17&gt;0,"A SURVEILLER",""))</f>
        <v/>
      </c>
    </row>
    <row r="18">
      <c r="A18" s="4" t="n"/>
      <c r="B18" s="4">
        <f>SUM(C18:F18)</f>
        <v/>
      </c>
      <c r="C18" s="4" t="n"/>
      <c r="D18" s="4" t="n"/>
      <c r="E18" s="4" t="n"/>
      <c r="F18" s="4" t="n"/>
      <c r="G18" s="4">
        <f>IF(F18&gt;0,"A RELANCER (&gt;90j)",IF(E18&gt;0,"A SURVEILLER",""))</f>
        <v/>
      </c>
    </row>
    <row r="19">
      <c r="A19" s="4" t="n"/>
      <c r="B19" s="4">
        <f>SUM(C19:F19)</f>
        <v/>
      </c>
      <c r="C19" s="4" t="n"/>
      <c r="D19" s="4" t="n"/>
      <c r="E19" s="4" t="n"/>
      <c r="F19" s="4" t="n"/>
      <c r="G19" s="4">
        <f>IF(F19&gt;0,"A RELANCER (&gt;90j)",IF(E19&gt;0,"A SURVEILLER",""))</f>
        <v/>
      </c>
    </row>
    <row r="20">
      <c r="A20" s="4" t="n"/>
      <c r="B20" s="4">
        <f>SUM(C20:F20)</f>
        <v/>
      </c>
      <c r="C20" s="4" t="n"/>
      <c r="D20" s="4" t="n"/>
      <c r="E20" s="4" t="n"/>
      <c r="F20" s="4" t="n"/>
      <c r="G20" s="4">
        <f>IF(F20&gt;0,"A RELANCER (&gt;90j)",IF(E20&gt;0,"A SURVEILLER",""))</f>
        <v/>
      </c>
    </row>
    <row r="21">
      <c r="A21" s="4" t="n"/>
      <c r="B21" s="4">
        <f>SUM(C21:F21)</f>
        <v/>
      </c>
      <c r="C21" s="4" t="n"/>
      <c r="D21" s="4" t="n"/>
      <c r="E21" s="4" t="n"/>
      <c r="F21" s="4" t="n"/>
      <c r="G21" s="4">
        <f>IF(F21&gt;0,"A RELANCER (&gt;90j)",IF(E21&gt;0,"A SURVEILLER",""))</f>
        <v/>
      </c>
    </row>
    <row r="22">
      <c r="A22" s="4" t="n"/>
      <c r="B22" s="4">
        <f>SUM(C22:F22)</f>
        <v/>
      </c>
      <c r="C22" s="4" t="n"/>
      <c r="D22" s="4" t="n"/>
      <c r="E22" s="4" t="n"/>
      <c r="F22" s="4" t="n"/>
      <c r="G22" s="4">
        <f>IF(F22&gt;0,"A RELANCER (&gt;90j)",IF(E22&gt;0,"A SURVEILLER",""))</f>
        <v/>
      </c>
    </row>
    <row r="23">
      <c r="A23" s="4" t="n"/>
      <c r="B23" s="4">
        <f>SUM(C23:F23)</f>
        <v/>
      </c>
      <c r="C23" s="4" t="n"/>
      <c r="D23" s="4" t="n"/>
      <c r="E23" s="4" t="n"/>
      <c r="F23" s="4" t="n"/>
      <c r="G23" s="4">
        <f>IF(F23&gt;0,"A RELANCER (&gt;90j)",IF(E23&gt;0,"A SURVEILLER",""))</f>
        <v/>
      </c>
    </row>
    <row r="24">
      <c r="A24" s="4" t="n"/>
      <c r="B24" s="4">
        <f>SUM(C24:F24)</f>
        <v/>
      </c>
      <c r="C24" s="4" t="n"/>
      <c r="D24" s="4" t="n"/>
      <c r="E24" s="4" t="n"/>
      <c r="F24" s="4" t="n"/>
      <c r="G24" s="4">
        <f>IF(F24&gt;0,"A RELANCER (&gt;90j)",IF(E24&gt;0,"A SURVEILLER",""))</f>
        <v/>
      </c>
    </row>
    <row r="25">
      <c r="A25" s="4" t="n"/>
      <c r="B25" s="4">
        <f>SUM(C25:F25)</f>
        <v/>
      </c>
      <c r="C25" s="4" t="n"/>
      <c r="D25" s="4" t="n"/>
      <c r="E25" s="4" t="n"/>
      <c r="F25" s="4" t="n"/>
      <c r="G25" s="4">
        <f>IF(F25&gt;0,"A RELANCER (&gt;90j)",IF(E25&gt;0,"A SURVEILLER",""))</f>
        <v/>
      </c>
    </row>
    <row r="26">
      <c r="A26" s="4" t="n"/>
      <c r="B26" s="4">
        <f>SUM(C26:F26)</f>
        <v/>
      </c>
      <c r="C26" s="4" t="n"/>
      <c r="D26" s="4" t="n"/>
      <c r="E26" s="4" t="n"/>
      <c r="F26" s="4" t="n"/>
      <c r="G26" s="4">
        <f>IF(F26&gt;0,"A RELANCER (&gt;90j)",IF(E26&gt;0,"A SURVEILLER",""))</f>
        <v/>
      </c>
    </row>
    <row r="27">
      <c r="A27" s="4" t="n"/>
      <c r="B27" s="4">
        <f>SUM(C27:F27)</f>
        <v/>
      </c>
      <c r="C27" s="4" t="n"/>
      <c r="D27" s="4" t="n"/>
      <c r="E27" s="4" t="n"/>
      <c r="F27" s="4" t="n"/>
      <c r="G27" s="4">
        <f>IF(F27&gt;0,"A RELANCER (&gt;90j)",IF(E27&gt;0,"A SURVEILLER",""))</f>
        <v/>
      </c>
    </row>
    <row r="28">
      <c r="A28" s="4" t="n"/>
      <c r="B28" s="4">
        <f>SUM(C28:F28)</f>
        <v/>
      </c>
      <c r="C28" s="4" t="n"/>
      <c r="D28" s="4" t="n"/>
      <c r="E28" s="4" t="n"/>
      <c r="F28" s="4" t="n"/>
      <c r="G28" s="4">
        <f>IF(F28&gt;0,"A RELANCER (&gt;90j)",IF(E28&gt;0,"A SURVEILLER",""))</f>
        <v/>
      </c>
    </row>
    <row r="29">
      <c r="A29" s="4" t="n"/>
      <c r="B29" s="4">
        <f>SUM(C29:F29)</f>
        <v/>
      </c>
      <c r="C29" s="4" t="n"/>
      <c r="D29" s="4" t="n"/>
      <c r="E29" s="4" t="n"/>
      <c r="F29" s="4" t="n"/>
      <c r="G29" s="4">
        <f>IF(F29&gt;0,"A RELANCER (&gt;90j)",IF(E29&gt;0,"A SURVEILLER",""))</f>
        <v/>
      </c>
    </row>
    <row r="30">
      <c r="A30" s="4" t="n"/>
      <c r="B30" s="4">
        <f>SUM(C30:F30)</f>
        <v/>
      </c>
      <c r="C30" s="4" t="n"/>
      <c r="D30" s="4" t="n"/>
      <c r="E30" s="4" t="n"/>
      <c r="F30" s="4" t="n"/>
      <c r="G30" s="4">
        <f>IF(F30&gt;0,"A RELANCER (&gt;90j)",IF(E30&gt;0,"A SURVEILLER",""))</f>
        <v/>
      </c>
    </row>
    <row r="31">
      <c r="A31" s="4" t="n"/>
      <c r="B31" s="4">
        <f>SUM(C31:F31)</f>
        <v/>
      </c>
      <c r="C31" s="4" t="n"/>
      <c r="D31" s="4" t="n"/>
      <c r="E31" s="4" t="n"/>
      <c r="F31" s="4" t="n"/>
      <c r="G31" s="4">
        <f>IF(F31&gt;0,"A RELANCER (&gt;90j)",IF(E31&gt;0,"A SURVEILLER",""))</f>
        <v/>
      </c>
    </row>
    <row r="32">
      <c r="A32" s="4" t="n"/>
      <c r="B32" s="4">
        <f>SUM(C32:F32)</f>
        <v/>
      </c>
      <c r="C32" s="4" t="n"/>
      <c r="D32" s="4" t="n"/>
      <c r="E32" s="4" t="n"/>
      <c r="F32" s="4" t="n"/>
      <c r="G32" s="4">
        <f>IF(F32&gt;0,"A RELANCER (&gt;90j)",IF(E32&gt;0,"A SURVEILLER",""))</f>
        <v/>
      </c>
    </row>
    <row r="33">
      <c r="A33" s="4" t="n"/>
      <c r="B33" s="4">
        <f>SUM(C33:F33)</f>
        <v/>
      </c>
      <c r="C33" s="4" t="n"/>
      <c r="D33" s="4" t="n"/>
      <c r="E33" s="4" t="n"/>
      <c r="F33" s="4" t="n"/>
      <c r="G33" s="4">
        <f>IF(F33&gt;0,"A RELANCER (&gt;90j)",IF(E33&gt;0,"A SURVEILLER",""))</f>
        <v/>
      </c>
    </row>
    <row r="34">
      <c r="A34" s="4" t="n"/>
      <c r="B34" s="4">
        <f>SUM(C34:F34)</f>
        <v/>
      </c>
      <c r="C34" s="4" t="n"/>
      <c r="D34" s="4" t="n"/>
      <c r="E34" s="4" t="n"/>
      <c r="F34" s="4" t="n"/>
      <c r="G34" s="4">
        <f>IF(F34&gt;0,"A RELANCER (&gt;90j)",IF(E34&gt;0,"A SURVEILLER",""))</f>
        <v/>
      </c>
    </row>
    <row r="35">
      <c r="A35" s="4" t="n"/>
      <c r="B35" s="4">
        <f>SUM(C35:F35)</f>
        <v/>
      </c>
      <c r="C35" s="4" t="n"/>
      <c r="D35" s="4" t="n"/>
      <c r="E35" s="4" t="n"/>
      <c r="F35" s="4" t="n"/>
      <c r="G35" s="4">
        <f>IF(F35&gt;0,"A RELANCER (&gt;90j)",IF(E35&gt;0,"A SURVEILLER",""))</f>
        <v/>
      </c>
    </row>
    <row r="36">
      <c r="A36" s="4" t="n"/>
      <c r="B36" s="4">
        <f>SUM(C36:F36)</f>
        <v/>
      </c>
      <c r="C36" s="4" t="n"/>
      <c r="D36" s="4" t="n"/>
      <c r="E36" s="4" t="n"/>
      <c r="F36" s="4" t="n"/>
      <c r="G36" s="4">
        <f>IF(F36&gt;0,"A RELANCER (&gt;90j)",IF(E36&gt;0,"A SURVEILLER",""))</f>
        <v/>
      </c>
    </row>
    <row r="37">
      <c r="A37" s="4" t="n"/>
      <c r="B37" s="4">
        <f>SUM(C37:F37)</f>
        <v/>
      </c>
      <c r="C37" s="4" t="n"/>
      <c r="D37" s="4" t="n"/>
      <c r="E37" s="4" t="n"/>
      <c r="F37" s="4" t="n"/>
      <c r="G37" s="4">
        <f>IF(F37&gt;0,"A RELANCER (&gt;90j)",IF(E37&gt;0,"A SURVEILLER",""))</f>
        <v/>
      </c>
    </row>
    <row r="38">
      <c r="A38" s="4" t="n"/>
      <c r="B38" s="4">
        <f>SUM(C38:F38)</f>
        <v/>
      </c>
      <c r="C38" s="4" t="n"/>
      <c r="D38" s="4" t="n"/>
      <c r="E38" s="4" t="n"/>
      <c r="F38" s="4" t="n"/>
      <c r="G38" s="4">
        <f>IF(F38&gt;0,"A RELANCER (&gt;90j)",IF(E38&gt;0,"A SURVEILLER",""))</f>
        <v/>
      </c>
    </row>
    <row r="39">
      <c r="A39" s="4" t="n"/>
      <c r="B39" s="4">
        <f>SUM(C39:F39)</f>
        <v/>
      </c>
      <c r="C39" s="4" t="n"/>
      <c r="D39" s="4" t="n"/>
      <c r="E39" s="4" t="n"/>
      <c r="F39" s="4" t="n"/>
      <c r="G39" s="4">
        <f>IF(F39&gt;0,"A RELANCER (&gt;90j)",IF(E39&gt;0,"A SURVEILLER",""))</f>
        <v/>
      </c>
    </row>
    <row r="40">
      <c r="A40" s="4" t="n"/>
      <c r="B40" s="4">
        <f>SUM(C40:F40)</f>
        <v/>
      </c>
      <c r="C40" s="4" t="n"/>
      <c r="D40" s="4" t="n"/>
      <c r="E40" s="4" t="n"/>
      <c r="F40" s="4" t="n"/>
      <c r="G40" s="4">
        <f>IF(F40&gt;0,"A RELANCER (&gt;90j)",IF(E40&gt;0,"A SURVEILLER",""))</f>
        <v/>
      </c>
    </row>
    <row r="41">
      <c r="A41" s="4" t="n"/>
      <c r="B41" s="4">
        <f>SUM(C41:F41)</f>
        <v/>
      </c>
      <c r="C41" s="4" t="n"/>
      <c r="D41" s="4" t="n"/>
      <c r="E41" s="4" t="n"/>
      <c r="F41" s="4" t="n"/>
      <c r="G41" s="4">
        <f>IF(F41&gt;0,"A RELANCER (&gt;90j)",IF(E41&gt;0,"A SURVEILLER",""))</f>
        <v/>
      </c>
    </row>
    <row r="42">
      <c r="A42" s="4" t="n"/>
      <c r="B42" s="4">
        <f>SUM(C42:F42)</f>
        <v/>
      </c>
      <c r="C42" s="4" t="n"/>
      <c r="D42" s="4" t="n"/>
      <c r="E42" s="4" t="n"/>
      <c r="F42" s="4" t="n"/>
      <c r="G42" s="4">
        <f>IF(F42&gt;0,"A RELANCER (&gt;90j)",IF(E42&gt;0,"A SURVEILLER",""))</f>
        <v/>
      </c>
    </row>
    <row r="43">
      <c r="A43" s="4" t="n"/>
      <c r="B43" s="4">
        <f>SUM(C43:F43)</f>
        <v/>
      </c>
      <c r="C43" s="4" t="n"/>
      <c r="D43" s="4" t="n"/>
      <c r="E43" s="4" t="n"/>
      <c r="F43" s="4" t="n"/>
      <c r="G43" s="4">
        <f>IF(F43&gt;0,"A RELANCER (&gt;90j)",IF(E43&gt;0,"A SURVEILLER",""))</f>
        <v/>
      </c>
    </row>
  </sheetData>
  <conditionalFormatting sqref="F4:F43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2" customWidth="1" min="3" max="3"/>
    <col width="16" customWidth="1" min="4" max="4"/>
    <col width="13" customWidth="1" min="5" max="5"/>
    <col width="13" customWidth="1" min="6" max="6"/>
    <col width="12" customWidth="1" min="7" max="7"/>
    <col width="14" customWidth="1" min="8" max="8"/>
  </cols>
  <sheetData>
    <row r="1">
      <c r="A1" s="1" t="inlineStr">
        <is>
          <t>SUIVI DES PIECES MANQUANTES</t>
        </is>
      </c>
    </row>
    <row r="2">
      <c r="A2" s="2" t="inlineStr"/>
    </row>
    <row r="3">
      <c r="A3" s="3" t="inlineStr">
        <is>
          <t>Client</t>
        </is>
      </c>
      <c r="B3" s="3" t="inlineStr">
        <is>
          <t>Date detection</t>
        </is>
      </c>
      <c r="C3" s="3" t="inlineStr">
        <is>
          <t>Operation (montant/tiers/date)</t>
        </is>
      </c>
      <c r="D3" s="3" t="inlineStr">
        <is>
          <t>Type de piece</t>
        </is>
      </c>
      <c r="E3" s="3" t="inlineStr">
        <is>
          <t>Demande le</t>
        </is>
      </c>
      <c r="F3" s="3" t="inlineStr">
        <is>
          <t>Relance le</t>
        </is>
      </c>
      <c r="G3" s="3" t="inlineStr">
        <is>
          <t>Recu (O/N)</t>
        </is>
      </c>
      <c r="H3" s="3" t="inlineStr">
        <is>
          <t>Statut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</row>
  </sheetData>
  <dataValidations count="1">
    <dataValidation sqref="G4:G43" showDropDown="0" showInputMessage="0" showErrorMessage="0" allowBlank="1" type="list">
      <formula1>"O,N"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12" customWidth="1" min="4" max="4"/>
    <col width="10" customWidth="1" min="5" max="5"/>
    <col width="14" customWidth="1" min="6" max="6"/>
    <col width="16" customWidth="1" min="7" max="7"/>
    <col width="14" customWidth="1" min="8" max="8"/>
  </cols>
  <sheetData>
    <row r="1">
      <c r="A1" s="1" t="inlineStr">
        <is>
          <t>FICHIER DES IMMOBILISATIONS</t>
        </is>
      </c>
    </row>
    <row r="2">
      <c r="A2" s="2" t="inlineStr">
        <is>
          <t>Dotation = Base / Duree ; VNC = Base - Amort. cumules</t>
        </is>
      </c>
    </row>
    <row r="3">
      <c r="A3" s="3" t="inlineStr">
        <is>
          <t>Bien</t>
        </is>
      </c>
      <c r="B3" s="3" t="inlineStr">
        <is>
          <t>Date mise en service</t>
        </is>
      </c>
      <c r="C3" s="3" t="inlineStr">
        <is>
          <t>Base HT</t>
        </is>
      </c>
      <c r="D3" s="3" t="inlineStr">
        <is>
          <t>Duree (ans)</t>
        </is>
      </c>
      <c r="E3" s="3" t="inlineStr">
        <is>
          <t>Taux</t>
        </is>
      </c>
      <c r="F3" s="3" t="inlineStr">
        <is>
          <t>Dotation N</t>
        </is>
      </c>
      <c r="G3" s="3" t="inlineStr">
        <is>
          <t>Amort. cumules</t>
        </is>
      </c>
      <c r="H3" s="3" t="inlineStr">
        <is>
          <t>VNC</t>
        </is>
      </c>
    </row>
    <row r="4">
      <c r="A4" s="4" t="n"/>
      <c r="B4" s="4" t="n"/>
      <c r="C4" s="4" t="n"/>
      <c r="D4" s="4" t="n"/>
      <c r="E4" s="9">
        <f>IF(D4=0,"",1/D4)</f>
        <v/>
      </c>
      <c r="F4" s="4">
        <f>IF(D4=0,"",C4/D4)</f>
        <v/>
      </c>
      <c r="G4" s="4" t="n"/>
      <c r="H4" s="4">
        <f>IF(C4="","",C4-G4)</f>
        <v/>
      </c>
    </row>
    <row r="5">
      <c r="A5" s="4" t="n"/>
      <c r="B5" s="4" t="n"/>
      <c r="C5" s="4" t="n"/>
      <c r="D5" s="4" t="n"/>
      <c r="E5" s="9">
        <f>IF(D5=0,"",1/D5)</f>
        <v/>
      </c>
      <c r="F5" s="4">
        <f>IF(D5=0,"",C5/D5)</f>
        <v/>
      </c>
      <c r="G5" s="4" t="n"/>
      <c r="H5" s="4">
        <f>IF(C5="","",C5-G5)</f>
        <v/>
      </c>
    </row>
    <row r="6">
      <c r="A6" s="4" t="n"/>
      <c r="B6" s="4" t="n"/>
      <c r="C6" s="4" t="n"/>
      <c r="D6" s="4" t="n"/>
      <c r="E6" s="9">
        <f>IF(D6=0,"",1/D6)</f>
        <v/>
      </c>
      <c r="F6" s="4">
        <f>IF(D6=0,"",C6/D6)</f>
        <v/>
      </c>
      <c r="G6" s="4" t="n"/>
      <c r="H6" s="4">
        <f>IF(C6="","",C6-G6)</f>
        <v/>
      </c>
    </row>
    <row r="7">
      <c r="A7" s="4" t="n"/>
      <c r="B7" s="4" t="n"/>
      <c r="C7" s="4" t="n"/>
      <c r="D7" s="4" t="n"/>
      <c r="E7" s="9">
        <f>IF(D7=0,"",1/D7)</f>
        <v/>
      </c>
      <c r="F7" s="4">
        <f>IF(D7=0,"",C7/D7)</f>
        <v/>
      </c>
      <c r="G7" s="4" t="n"/>
      <c r="H7" s="4">
        <f>IF(C7="","",C7-G7)</f>
        <v/>
      </c>
    </row>
    <row r="8">
      <c r="A8" s="4" t="n"/>
      <c r="B8" s="4" t="n"/>
      <c r="C8" s="4" t="n"/>
      <c r="D8" s="4" t="n"/>
      <c r="E8" s="9">
        <f>IF(D8=0,"",1/D8)</f>
        <v/>
      </c>
      <c r="F8" s="4">
        <f>IF(D8=0,"",C8/D8)</f>
        <v/>
      </c>
      <c r="G8" s="4" t="n"/>
      <c r="H8" s="4">
        <f>IF(C8="","",C8-G8)</f>
        <v/>
      </c>
    </row>
    <row r="9">
      <c r="A9" s="4" t="n"/>
      <c r="B9" s="4" t="n"/>
      <c r="C9" s="4" t="n"/>
      <c r="D9" s="4" t="n"/>
      <c r="E9" s="9">
        <f>IF(D9=0,"",1/D9)</f>
        <v/>
      </c>
      <c r="F9" s="4">
        <f>IF(D9=0,"",C9/D9)</f>
        <v/>
      </c>
      <c r="G9" s="4" t="n"/>
      <c r="H9" s="4">
        <f>IF(C9="","",C9-G9)</f>
        <v/>
      </c>
    </row>
    <row r="10">
      <c r="A10" s="4" t="n"/>
      <c r="B10" s="4" t="n"/>
      <c r="C10" s="4" t="n"/>
      <c r="D10" s="4" t="n"/>
      <c r="E10" s="9">
        <f>IF(D10=0,"",1/D10)</f>
        <v/>
      </c>
      <c r="F10" s="4">
        <f>IF(D10=0,"",C10/D10)</f>
        <v/>
      </c>
      <c r="G10" s="4" t="n"/>
      <c r="H10" s="4">
        <f>IF(C10="","",C10-G10)</f>
        <v/>
      </c>
    </row>
    <row r="11">
      <c r="A11" s="4" t="n"/>
      <c r="B11" s="4" t="n"/>
      <c r="C11" s="4" t="n"/>
      <c r="D11" s="4" t="n"/>
      <c r="E11" s="9">
        <f>IF(D11=0,"",1/D11)</f>
        <v/>
      </c>
      <c r="F11" s="4">
        <f>IF(D11=0,"",C11/D11)</f>
        <v/>
      </c>
      <c r="G11" s="4" t="n"/>
      <c r="H11" s="4">
        <f>IF(C11="","",C11-G11)</f>
        <v/>
      </c>
    </row>
    <row r="12">
      <c r="A12" s="4" t="n"/>
      <c r="B12" s="4" t="n"/>
      <c r="C12" s="4" t="n"/>
      <c r="D12" s="4" t="n"/>
      <c r="E12" s="9">
        <f>IF(D12=0,"",1/D12)</f>
        <v/>
      </c>
      <c r="F12" s="4">
        <f>IF(D12=0,"",C12/D12)</f>
        <v/>
      </c>
      <c r="G12" s="4" t="n"/>
      <c r="H12" s="4">
        <f>IF(C12="","",C12-G12)</f>
        <v/>
      </c>
    </row>
    <row r="13">
      <c r="A13" s="4" t="n"/>
      <c r="B13" s="4" t="n"/>
      <c r="C13" s="4" t="n"/>
      <c r="D13" s="4" t="n"/>
      <c r="E13" s="9">
        <f>IF(D13=0,"",1/D13)</f>
        <v/>
      </c>
      <c r="F13" s="4">
        <f>IF(D13=0,"",C13/D13)</f>
        <v/>
      </c>
      <c r="G13" s="4" t="n"/>
      <c r="H13" s="4">
        <f>IF(C13="","",C13-G13)</f>
        <v/>
      </c>
    </row>
    <row r="14">
      <c r="A14" s="4" t="n"/>
      <c r="B14" s="4" t="n"/>
      <c r="C14" s="4" t="n"/>
      <c r="D14" s="4" t="n"/>
      <c r="E14" s="9">
        <f>IF(D14=0,"",1/D14)</f>
        <v/>
      </c>
      <c r="F14" s="4">
        <f>IF(D14=0,"",C14/D14)</f>
        <v/>
      </c>
      <c r="G14" s="4" t="n"/>
      <c r="H14" s="4">
        <f>IF(C14="","",C14-G14)</f>
        <v/>
      </c>
    </row>
    <row r="15">
      <c r="A15" s="4" t="n"/>
      <c r="B15" s="4" t="n"/>
      <c r="C15" s="4" t="n"/>
      <c r="D15" s="4" t="n"/>
      <c r="E15" s="9">
        <f>IF(D15=0,"",1/D15)</f>
        <v/>
      </c>
      <c r="F15" s="4">
        <f>IF(D15=0,"",C15/D15)</f>
        <v/>
      </c>
      <c r="G15" s="4" t="n"/>
      <c r="H15" s="4">
        <f>IF(C15="","",C15-G15)</f>
        <v/>
      </c>
    </row>
    <row r="16">
      <c r="A16" s="4" t="n"/>
      <c r="B16" s="4" t="n"/>
      <c r="C16" s="4" t="n"/>
      <c r="D16" s="4" t="n"/>
      <c r="E16" s="9">
        <f>IF(D16=0,"",1/D16)</f>
        <v/>
      </c>
      <c r="F16" s="4">
        <f>IF(D16=0,"",C16/D16)</f>
        <v/>
      </c>
      <c r="G16" s="4" t="n"/>
      <c r="H16" s="4">
        <f>IF(C16="","",C16-G16)</f>
        <v/>
      </c>
    </row>
    <row r="17">
      <c r="A17" s="4" t="n"/>
      <c r="B17" s="4" t="n"/>
      <c r="C17" s="4" t="n"/>
      <c r="D17" s="4" t="n"/>
      <c r="E17" s="9">
        <f>IF(D17=0,"",1/D17)</f>
        <v/>
      </c>
      <c r="F17" s="4">
        <f>IF(D17=0,"",C17/D17)</f>
        <v/>
      </c>
      <c r="G17" s="4" t="n"/>
      <c r="H17" s="4">
        <f>IF(C17="","",C17-G17)</f>
        <v/>
      </c>
    </row>
    <row r="18">
      <c r="A18" s="4" t="n"/>
      <c r="B18" s="4" t="n"/>
      <c r="C18" s="4" t="n"/>
      <c r="D18" s="4" t="n"/>
      <c r="E18" s="9">
        <f>IF(D18=0,"",1/D18)</f>
        <v/>
      </c>
      <c r="F18" s="4">
        <f>IF(D18=0,"",C18/D18)</f>
        <v/>
      </c>
      <c r="G18" s="4" t="n"/>
      <c r="H18" s="4">
        <f>IF(C18="","",C18-G18)</f>
        <v/>
      </c>
    </row>
    <row r="19">
      <c r="A19" s="4" t="n"/>
      <c r="B19" s="4" t="n"/>
      <c r="C19" s="4" t="n"/>
      <c r="D19" s="4" t="n"/>
      <c r="E19" s="9">
        <f>IF(D19=0,"",1/D19)</f>
        <v/>
      </c>
      <c r="F19" s="4">
        <f>IF(D19=0,"",C19/D19)</f>
        <v/>
      </c>
      <c r="G19" s="4" t="n"/>
      <c r="H19" s="4">
        <f>IF(C19="","",C19-G19)</f>
        <v/>
      </c>
    </row>
    <row r="20">
      <c r="A20" s="4" t="n"/>
      <c r="B20" s="4" t="n"/>
      <c r="C20" s="4" t="n"/>
      <c r="D20" s="4" t="n"/>
      <c r="E20" s="9">
        <f>IF(D20=0,"",1/D20)</f>
        <v/>
      </c>
      <c r="F20" s="4">
        <f>IF(D20=0,"",C20/D20)</f>
        <v/>
      </c>
      <c r="G20" s="4" t="n"/>
      <c r="H20" s="4">
        <f>IF(C20="","",C20-G20)</f>
        <v/>
      </c>
    </row>
    <row r="21">
      <c r="A21" s="4" t="n"/>
      <c r="B21" s="4" t="n"/>
      <c r="C21" s="4" t="n"/>
      <c r="D21" s="4" t="n"/>
      <c r="E21" s="9">
        <f>IF(D21=0,"",1/D21)</f>
        <v/>
      </c>
      <c r="F21" s="4">
        <f>IF(D21=0,"",C21/D21)</f>
        <v/>
      </c>
      <c r="G21" s="4" t="n"/>
      <c r="H21" s="4">
        <f>IF(C21="","",C21-G21)</f>
        <v/>
      </c>
    </row>
    <row r="22">
      <c r="A22" s="4" t="n"/>
      <c r="B22" s="4" t="n"/>
      <c r="C22" s="4" t="n"/>
      <c r="D22" s="4" t="n"/>
      <c r="E22" s="9">
        <f>IF(D22=0,"",1/D22)</f>
        <v/>
      </c>
      <c r="F22" s="4">
        <f>IF(D22=0,"",C22/D22)</f>
        <v/>
      </c>
      <c r="G22" s="4" t="n"/>
      <c r="H22" s="4">
        <f>IF(C22="","",C22-G22)</f>
        <v/>
      </c>
    </row>
    <row r="23">
      <c r="A23" s="4" t="n"/>
      <c r="B23" s="4" t="n"/>
      <c r="C23" s="4" t="n"/>
      <c r="D23" s="4" t="n"/>
      <c r="E23" s="9">
        <f>IF(D23=0,"",1/D23)</f>
        <v/>
      </c>
      <c r="F23" s="4">
        <f>IF(D23=0,"",C23/D23)</f>
        <v/>
      </c>
      <c r="G23" s="4" t="n"/>
      <c r="H23" s="4">
        <f>IF(C23="","",C23-G23)</f>
        <v/>
      </c>
    </row>
    <row r="24">
      <c r="A24" s="4" t="n"/>
      <c r="B24" s="4" t="n"/>
      <c r="C24" s="4" t="n"/>
      <c r="D24" s="4" t="n"/>
      <c r="E24" s="9">
        <f>IF(D24=0,"",1/D24)</f>
        <v/>
      </c>
      <c r="F24" s="4">
        <f>IF(D24=0,"",C24/D24)</f>
        <v/>
      </c>
      <c r="G24" s="4" t="n"/>
      <c r="H24" s="4">
        <f>IF(C24="","",C24-G24)</f>
        <v/>
      </c>
    </row>
    <row r="25">
      <c r="A25" s="4" t="n"/>
      <c r="B25" s="4" t="n"/>
      <c r="C25" s="4" t="n"/>
      <c r="D25" s="4" t="n"/>
      <c r="E25" s="9">
        <f>IF(D25=0,"",1/D25)</f>
        <v/>
      </c>
      <c r="F25" s="4">
        <f>IF(D25=0,"",C25/D25)</f>
        <v/>
      </c>
      <c r="G25" s="4" t="n"/>
      <c r="H25" s="4">
        <f>IF(C25="","",C25-G25)</f>
        <v/>
      </c>
    </row>
    <row r="26">
      <c r="A26" s="4" t="n"/>
      <c r="B26" s="4" t="n"/>
      <c r="C26" s="4" t="n"/>
      <c r="D26" s="4" t="n"/>
      <c r="E26" s="9">
        <f>IF(D26=0,"",1/D26)</f>
        <v/>
      </c>
      <c r="F26" s="4">
        <f>IF(D26=0,"",C26/D26)</f>
        <v/>
      </c>
      <c r="G26" s="4" t="n"/>
      <c r="H26" s="4">
        <f>IF(C26="","",C26-G26)</f>
        <v/>
      </c>
    </row>
    <row r="27">
      <c r="A27" s="4" t="n"/>
      <c r="B27" s="4" t="n"/>
      <c r="C27" s="4" t="n"/>
      <c r="D27" s="4" t="n"/>
      <c r="E27" s="9">
        <f>IF(D27=0,"",1/D27)</f>
        <v/>
      </c>
      <c r="F27" s="4">
        <f>IF(D27=0,"",C27/D27)</f>
        <v/>
      </c>
      <c r="G27" s="4" t="n"/>
      <c r="H27" s="4">
        <f>IF(C27="","",C27-G27)</f>
        <v/>
      </c>
    </row>
    <row r="28">
      <c r="A28" s="4" t="n"/>
      <c r="B28" s="4" t="n"/>
      <c r="C28" s="4" t="n"/>
      <c r="D28" s="4" t="n"/>
      <c r="E28" s="9">
        <f>IF(D28=0,"",1/D28)</f>
        <v/>
      </c>
      <c r="F28" s="4">
        <f>IF(D28=0,"",C28/D28)</f>
        <v/>
      </c>
      <c r="G28" s="4" t="n"/>
      <c r="H28" s="4">
        <f>IF(C28="","",C28-G28)</f>
        <v/>
      </c>
    </row>
    <row r="29">
      <c r="A29" s="4" t="n"/>
      <c r="B29" s="4" t="n"/>
      <c r="C29" s="4" t="n"/>
      <c r="D29" s="4" t="n"/>
      <c r="E29" s="9">
        <f>IF(D29=0,"",1/D29)</f>
        <v/>
      </c>
      <c r="F29" s="4">
        <f>IF(D29=0,"",C29/D29)</f>
        <v/>
      </c>
      <c r="G29" s="4" t="n"/>
      <c r="H29" s="4">
        <f>IF(C29="","",C29-G29)</f>
        <v/>
      </c>
    </row>
    <row r="30">
      <c r="A30" s="4" t="n"/>
      <c r="B30" s="4" t="n"/>
      <c r="C30" s="4" t="n"/>
      <c r="D30" s="4" t="n"/>
      <c r="E30" s="9">
        <f>IF(D30=0,"",1/D30)</f>
        <v/>
      </c>
      <c r="F30" s="4">
        <f>IF(D30=0,"",C30/D30)</f>
        <v/>
      </c>
      <c r="G30" s="4" t="n"/>
      <c r="H30" s="4">
        <f>IF(C30="","",C30-G30)</f>
        <v/>
      </c>
    </row>
    <row r="31">
      <c r="A31" s="4" t="n"/>
      <c r="B31" s="4" t="n"/>
      <c r="C31" s="4" t="n"/>
      <c r="D31" s="4" t="n"/>
      <c r="E31" s="9">
        <f>IF(D31=0,"",1/D31)</f>
        <v/>
      </c>
      <c r="F31" s="4">
        <f>IF(D31=0,"",C31/D31)</f>
        <v/>
      </c>
      <c r="G31" s="4" t="n"/>
      <c r="H31" s="4">
        <f>IF(C31="","",C31-G31)</f>
        <v/>
      </c>
    </row>
    <row r="32">
      <c r="A32" s="4" t="n"/>
      <c r="B32" s="4" t="n"/>
      <c r="C32" s="4" t="n"/>
      <c r="D32" s="4" t="n"/>
      <c r="E32" s="9">
        <f>IF(D32=0,"",1/D32)</f>
        <v/>
      </c>
      <c r="F32" s="4">
        <f>IF(D32=0,"",C32/D32)</f>
        <v/>
      </c>
      <c r="G32" s="4" t="n"/>
      <c r="H32" s="4">
        <f>IF(C32="","",C32-G32)</f>
        <v/>
      </c>
    </row>
    <row r="33">
      <c r="A33" s="4" t="n"/>
      <c r="B33" s="4" t="n"/>
      <c r="C33" s="4" t="n"/>
      <c r="D33" s="4" t="n"/>
      <c r="E33" s="9">
        <f>IF(D33=0,"",1/D33)</f>
        <v/>
      </c>
      <c r="F33" s="4">
        <f>IF(D33=0,"",C33/D33)</f>
        <v/>
      </c>
      <c r="G33" s="4" t="n"/>
      <c r="H33" s="4">
        <f>IF(C33="","",C33-G33)</f>
        <v/>
      </c>
    </row>
    <row r="34">
      <c r="A34" s="4" t="n"/>
      <c r="B34" s="4" t="n"/>
      <c r="C34" s="4" t="n"/>
      <c r="D34" s="4" t="n"/>
      <c r="E34" s="9">
        <f>IF(D34=0,"",1/D34)</f>
        <v/>
      </c>
      <c r="F34" s="4">
        <f>IF(D34=0,"",C34/D34)</f>
        <v/>
      </c>
      <c r="G34" s="4" t="n"/>
      <c r="H34" s="4">
        <f>IF(C34="","",C34-G34)</f>
        <v/>
      </c>
    </row>
    <row r="35">
      <c r="A35" s="4" t="n"/>
      <c r="B35" s="4" t="n"/>
      <c r="C35" s="4" t="n"/>
      <c r="D35" s="4" t="n"/>
      <c r="E35" s="9">
        <f>IF(D35=0,"",1/D35)</f>
        <v/>
      </c>
      <c r="F35" s="4">
        <f>IF(D35=0,"",C35/D35)</f>
        <v/>
      </c>
      <c r="G35" s="4" t="n"/>
      <c r="H35" s="4">
        <f>IF(C35="","",C35-G35)</f>
        <v/>
      </c>
    </row>
    <row r="36">
      <c r="A36" s="4" t="n"/>
      <c r="B36" s="4" t="n"/>
      <c r="C36" s="4" t="n"/>
      <c r="D36" s="4" t="n"/>
      <c r="E36" s="9">
        <f>IF(D36=0,"",1/D36)</f>
        <v/>
      </c>
      <c r="F36" s="4">
        <f>IF(D36=0,"",C36/D36)</f>
        <v/>
      </c>
      <c r="G36" s="4" t="n"/>
      <c r="H36" s="4">
        <f>IF(C36="","",C36-G36)</f>
        <v/>
      </c>
    </row>
    <row r="37">
      <c r="A37" s="4" t="n"/>
      <c r="B37" s="4" t="n"/>
      <c r="C37" s="4" t="n"/>
      <c r="D37" s="4" t="n"/>
      <c r="E37" s="9">
        <f>IF(D37=0,"",1/D37)</f>
        <v/>
      </c>
      <c r="F37" s="4">
        <f>IF(D37=0,"",C37/D37)</f>
        <v/>
      </c>
      <c r="G37" s="4" t="n"/>
      <c r="H37" s="4">
        <f>IF(C37="","",C37-G37)</f>
        <v/>
      </c>
    </row>
    <row r="38">
      <c r="A38" s="4" t="n"/>
      <c r="B38" s="4" t="n"/>
      <c r="C38" s="4" t="n"/>
      <c r="D38" s="4" t="n"/>
      <c r="E38" s="9">
        <f>IF(D38=0,"",1/D38)</f>
        <v/>
      </c>
      <c r="F38" s="4">
        <f>IF(D38=0,"",C38/D38)</f>
        <v/>
      </c>
      <c r="G38" s="4" t="n"/>
      <c r="H38" s="4">
        <f>IF(C38="","",C38-G38)</f>
        <v/>
      </c>
    </row>
    <row r="39">
      <c r="A39" s="4" t="n"/>
      <c r="B39" s="4" t="n"/>
      <c r="C39" s="4" t="n"/>
      <c r="D39" s="4" t="n"/>
      <c r="E39" s="9">
        <f>IF(D39=0,"",1/D39)</f>
        <v/>
      </c>
      <c r="F39" s="4">
        <f>IF(D39=0,"",C39/D39)</f>
        <v/>
      </c>
      <c r="G39" s="4" t="n"/>
      <c r="H39" s="4">
        <f>IF(C39="","",C39-G39)</f>
        <v/>
      </c>
    </row>
    <row r="40">
      <c r="A40" s="4" t="n"/>
      <c r="B40" s="4" t="n"/>
      <c r="C40" s="4" t="n"/>
      <c r="D40" s="4" t="n"/>
      <c r="E40" s="9">
        <f>IF(D40=0,"",1/D40)</f>
        <v/>
      </c>
      <c r="F40" s="4">
        <f>IF(D40=0,"",C40/D40)</f>
        <v/>
      </c>
      <c r="G40" s="4" t="n"/>
      <c r="H40" s="4">
        <f>IF(C40="","",C40-G40)</f>
        <v/>
      </c>
    </row>
    <row r="41">
      <c r="A41" s="4" t="n"/>
      <c r="B41" s="4" t="n"/>
      <c r="C41" s="4" t="n"/>
      <c r="D41" s="4" t="n"/>
      <c r="E41" s="9">
        <f>IF(D41=0,"",1/D41)</f>
        <v/>
      </c>
      <c r="F41" s="4">
        <f>IF(D41=0,"",C41/D41)</f>
        <v/>
      </c>
      <c r="G41" s="4" t="n"/>
      <c r="H41" s="4">
        <f>IF(C41="","",C41-G41)</f>
        <v/>
      </c>
    </row>
    <row r="42">
      <c r="A42" s="4" t="n"/>
      <c r="B42" s="4" t="n"/>
      <c r="C42" s="4" t="n"/>
      <c r="D42" s="4" t="n"/>
      <c r="E42" s="9">
        <f>IF(D42=0,"",1/D42)</f>
        <v/>
      </c>
      <c r="F42" s="4">
        <f>IF(D42=0,"",C42/D42)</f>
        <v/>
      </c>
      <c r="G42" s="4" t="n"/>
      <c r="H42" s="4">
        <f>IF(C42="","",C42-G42)</f>
        <v/>
      </c>
    </row>
    <row r="43">
      <c r="A43" s="4" t="n"/>
      <c r="B43" s="4" t="n"/>
      <c r="C43" s="4" t="n"/>
      <c r="D43" s="4" t="n"/>
      <c r="E43" s="9">
        <f>IF(D43=0,"",1/D43)</f>
        <v/>
      </c>
      <c r="F43" s="4">
        <f>IF(D43=0,"",C43/D43)</f>
        <v/>
      </c>
      <c r="G43" s="4" t="n"/>
      <c r="H43" s="4">
        <f>IF(C43="","",C43-G43)</f>
        <v/>
      </c>
    </row>
    <row r="45">
      <c r="A45" s="8" t="inlineStr">
        <is>
          <t>TOTAUX</t>
        </is>
      </c>
      <c r="C45">
        <f>SUM(C4:C43)</f>
        <v/>
      </c>
      <c r="G45">
        <f>SUM(G4:G43)</f>
        <v/>
      </c>
      <c r="H45">
        <f>SUM(H4:H43)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28" customWidth="1" min="4" max="4"/>
    <col width="22" customWidth="1" min="5" max="5"/>
    <col width="22" customWidth="1" min="6" max="6"/>
    <col width="12" customWidth="1" min="7" max="7"/>
    <col width="14" customWidth="1" min="8" max="8"/>
  </cols>
  <sheetData>
    <row r="1">
      <c r="A1" s="1" t="inlineStr">
        <is>
          <t>SUIVI DES COMPTES D'ATTENTE (471)</t>
        </is>
      </c>
    </row>
    <row r="2">
      <c r="A2" s="2" t="inlineStr">
        <is>
          <t>Objectif: tout passer a IMPUTE avant cloture</t>
        </is>
      </c>
    </row>
    <row r="3">
      <c r="A3" s="3" t="inlineStr">
        <is>
          <t>Date</t>
        </is>
      </c>
      <c r="B3" s="3" t="inlineStr">
        <is>
          <t>Montant</t>
        </is>
      </c>
      <c r="C3" s="3" t="inlineStr">
        <is>
          <t>Sens (D/C)</t>
        </is>
      </c>
      <c r="D3" s="3" t="inlineStr">
        <is>
          <t>Libelle banque</t>
        </is>
      </c>
      <c r="E3" s="3" t="inlineStr">
        <is>
          <t>Nature presumee</t>
        </is>
      </c>
      <c r="F3" s="3" t="inlineStr">
        <is>
          <t>Action</t>
        </is>
      </c>
      <c r="G3" s="3" t="inlineStr">
        <is>
          <t>Relance le</t>
        </is>
      </c>
      <c r="H3" s="3" t="inlineStr">
        <is>
          <t>Statut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</row>
  </sheetData>
  <dataValidations count="1">
    <dataValidation sqref="H4:H43" showDropDown="0" showInputMessage="0" showErrorMessage="0" allowBlank="1" type="list">
      <formula1>"EN ATTENTE,IMPUTE,A VALIDER"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4" customWidth="1" min="9" max="9"/>
    <col width="10" customWidth="1" min="10" max="10"/>
    <col width="8" customWidth="1" min="11" max="11"/>
  </cols>
  <sheetData>
    <row r="1">
      <c r="A1" s="1" t="inlineStr">
        <is>
          <t>CONTROLE PAIE (rapprochement 4 sources)</t>
        </is>
      </c>
    </row>
    <row r="2">
      <c r="A2" s="2" t="inlineStr">
        <is>
          <t>Ecart = Brut OD - Brut DSN</t>
        </is>
      </c>
    </row>
    <row r="3">
      <c r="A3" s="3" t="inlineStr">
        <is>
          <t>Mois</t>
        </is>
      </c>
      <c r="B3" s="3" t="inlineStr">
        <is>
          <t>Brut (OD)</t>
        </is>
      </c>
      <c r="C3" s="3" t="inlineStr">
        <is>
          <t>Brut (bulletins)</t>
        </is>
      </c>
      <c r="D3" s="3" t="inlineStr">
        <is>
          <t>Brut (DSN)</t>
        </is>
      </c>
      <c r="E3" s="3" t="inlineStr">
        <is>
          <t>Net (OD)</t>
        </is>
      </c>
      <c r="F3" s="3" t="inlineStr">
        <is>
          <t>Net verse (banque)</t>
        </is>
      </c>
      <c r="G3" s="3" t="inlineStr">
        <is>
          <t>Cotis. (OD)</t>
        </is>
      </c>
      <c r="H3" s="3" t="inlineStr">
        <is>
          <t>Cotis. (DSN)</t>
        </is>
      </c>
      <c r="I3" s="3" t="inlineStr">
        <is>
          <t>Cotis. payees</t>
        </is>
      </c>
      <c r="J3" s="3" t="inlineStr">
        <is>
          <t>Ecart</t>
        </is>
      </c>
      <c r="K3" s="3" t="inlineStr">
        <is>
          <t>OK ?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>
        <f>B4-D4</f>
        <v/>
      </c>
      <c r="K4" s="4">
        <f>IF(ROUND(J4,2)=0,"OK","VERIFIER")</f>
        <v/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>
        <f>B5-D5</f>
        <v/>
      </c>
      <c r="K5" s="4">
        <f>IF(ROUND(J5,2)=0,"OK","VERIFIER")</f>
        <v/>
      </c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>
        <f>B6-D6</f>
        <v/>
      </c>
      <c r="K6" s="4">
        <f>IF(ROUND(J6,2)=0,"OK","VERIFIER")</f>
        <v/>
      </c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>
        <f>B7-D7</f>
        <v/>
      </c>
      <c r="K7" s="4">
        <f>IF(ROUND(J7,2)=0,"OK","VERIFIER")</f>
        <v/>
      </c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>
        <f>B8-D8</f>
        <v/>
      </c>
      <c r="K8" s="4">
        <f>IF(ROUND(J8,2)=0,"OK","VERIFIER")</f>
        <v/>
      </c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>
        <f>B9-D9</f>
        <v/>
      </c>
      <c r="K9" s="4">
        <f>IF(ROUND(J9,2)=0,"OK","VERIFIER")</f>
        <v/>
      </c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>
        <f>B10-D10</f>
        <v/>
      </c>
      <c r="K10" s="4">
        <f>IF(ROUND(J10,2)=0,"OK","VERIFIER")</f>
        <v/>
      </c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>
        <f>B11-D11</f>
        <v/>
      </c>
      <c r="K11" s="4">
        <f>IF(ROUND(J11,2)=0,"OK","VERIFIER")</f>
        <v/>
      </c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>
        <f>B12-D12</f>
        <v/>
      </c>
      <c r="K12" s="4">
        <f>IF(ROUND(J12,2)=0,"OK","VERIFIER")</f>
        <v/>
      </c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>
        <f>B13-D13</f>
        <v/>
      </c>
      <c r="K13" s="4">
        <f>IF(ROUND(J13,2)=0,"OK","VERIFIER")</f>
        <v/>
      </c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>
        <f>B14-D14</f>
        <v/>
      </c>
      <c r="K14" s="4">
        <f>IF(ROUND(J14,2)=0,"OK","VERIFIER")</f>
        <v/>
      </c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>
        <f>B15-D15</f>
        <v/>
      </c>
      <c r="K15" s="4">
        <f>IF(ROUND(J15,2)=0,"OK","VERIFIER")</f>
        <v/>
      </c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>
        <f>B16-D16</f>
        <v/>
      </c>
      <c r="K16" s="4">
        <f>IF(ROUND(J16,2)=0,"OK","VERIFIER")</f>
        <v/>
      </c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>
        <f>B17-D17</f>
        <v/>
      </c>
      <c r="K17" s="4">
        <f>IF(ROUND(J17,2)=0,"OK","VERIFIER")</f>
        <v/>
      </c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>
        <f>B18-D18</f>
        <v/>
      </c>
      <c r="K18" s="4">
        <f>IF(ROUND(J18,2)=0,"OK","VERIFIER")</f>
        <v/>
      </c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>
        <f>B19-D19</f>
        <v/>
      </c>
      <c r="K19" s="4">
        <f>IF(ROUND(J19,2)=0,"OK","VERIFIER")</f>
        <v/>
      </c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>
        <f>B20-D20</f>
        <v/>
      </c>
      <c r="K20" s="4">
        <f>IF(ROUND(J20,2)=0,"OK","VERIFIER")</f>
        <v/>
      </c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>
        <f>B21-D21</f>
        <v/>
      </c>
      <c r="K21" s="4">
        <f>IF(ROUND(J21,2)=0,"OK","VERIFIER")</f>
        <v/>
      </c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>
        <f>B22-D22</f>
        <v/>
      </c>
      <c r="K22" s="4">
        <f>IF(ROUND(J22,2)=0,"OK","VERIFIER")</f>
        <v/>
      </c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>
        <f>B23-D23</f>
        <v/>
      </c>
      <c r="K23" s="4">
        <f>IF(ROUND(J23,2)=0,"OK","VERIFIER")</f>
        <v/>
      </c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>
        <f>B24-D24</f>
        <v/>
      </c>
      <c r="K24" s="4">
        <f>IF(ROUND(J24,2)=0,"OK","VERIFIER")</f>
        <v/>
      </c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>
        <f>B25-D25</f>
        <v/>
      </c>
      <c r="K25" s="4">
        <f>IF(ROUND(J25,2)=0,"OK","VERIFIER")</f>
        <v/>
      </c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>
        <f>B26-D26</f>
        <v/>
      </c>
      <c r="K26" s="4">
        <f>IF(ROUND(J26,2)=0,"OK","VERIFIER")</f>
        <v/>
      </c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>
        <f>B27-D27</f>
        <v/>
      </c>
      <c r="K27" s="4">
        <f>IF(ROUND(J27,2)=0,"OK","VERIFIER")</f>
        <v/>
      </c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>
        <f>B28-D28</f>
        <v/>
      </c>
      <c r="K28" s="4">
        <f>IF(ROUND(J28,2)=0,"OK","VERIFIER")</f>
        <v/>
      </c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>
        <f>B29-D29</f>
        <v/>
      </c>
      <c r="K29" s="4">
        <f>IF(ROUND(J29,2)=0,"OK","VERIFIER")</f>
        <v/>
      </c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>
        <f>B30-D30</f>
        <v/>
      </c>
      <c r="K30" s="4">
        <f>IF(ROUND(J30,2)=0,"OK","VERIFIER")</f>
        <v/>
      </c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>
        <f>B31-D31</f>
        <v/>
      </c>
      <c r="K31" s="4">
        <f>IF(ROUND(J31,2)=0,"OK","VERIFIER")</f>
        <v/>
      </c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>
        <f>B32-D32</f>
        <v/>
      </c>
      <c r="K32" s="4">
        <f>IF(ROUND(J32,2)=0,"OK","VERIFIER")</f>
        <v/>
      </c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>
        <f>B33-D33</f>
        <v/>
      </c>
      <c r="K33" s="4">
        <f>IF(ROUND(J33,2)=0,"OK","VERIFIER")</f>
        <v/>
      </c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>
        <f>B34-D34</f>
        <v/>
      </c>
      <c r="K34" s="4">
        <f>IF(ROUND(J34,2)=0,"OK","VERIFIER")</f>
        <v/>
      </c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>
        <f>B35-D35</f>
        <v/>
      </c>
      <c r="K35" s="4">
        <f>IF(ROUND(J35,2)=0,"OK","VERIFIER")</f>
        <v/>
      </c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>
        <f>B36-D36</f>
        <v/>
      </c>
      <c r="K36" s="4">
        <f>IF(ROUND(J36,2)=0,"OK","VERIFIER")</f>
        <v/>
      </c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>
        <f>B37-D37</f>
        <v/>
      </c>
      <c r="K37" s="4">
        <f>IF(ROUND(J37,2)=0,"OK","VERIFIER")</f>
        <v/>
      </c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>
        <f>B38-D38</f>
        <v/>
      </c>
      <c r="K38" s="4">
        <f>IF(ROUND(J38,2)=0,"OK","VERIFIER")</f>
        <v/>
      </c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>
        <f>B39-D39</f>
        <v/>
      </c>
      <c r="K39" s="4">
        <f>IF(ROUND(J39,2)=0,"OK","VERIFIER")</f>
        <v/>
      </c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>
        <f>B40-D40</f>
        <v/>
      </c>
      <c r="K40" s="4">
        <f>IF(ROUND(J40,2)=0,"OK","VERIFIER")</f>
        <v/>
      </c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>
        <f>B41-D41</f>
        <v/>
      </c>
      <c r="K41" s="4">
        <f>IF(ROUND(J41,2)=0,"OK","VERIFIER")</f>
        <v/>
      </c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>
        <f>B42-D42</f>
        <v/>
      </c>
      <c r="K42" s="4">
        <f>IF(ROUND(J42,2)=0,"OK","VERIFIER")</f>
        <v/>
      </c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>
        <f>B43-D43</f>
        <v/>
      </c>
      <c r="K43" s="4">
        <f>IF(ROUND(J43,2)=0,"OK","VERIFIER")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24" customWidth="1" min="4" max="4"/>
    <col width="28" customWidth="1" min="5" max="5"/>
    <col width="28" customWidth="1" min="6" max="6"/>
  </cols>
  <sheetData>
    <row r="1">
      <c r="A1" s="1" t="inlineStr">
        <is>
          <t>CARNET D'ERREURS PERSONNEL</t>
        </is>
      </c>
    </row>
    <row r="2">
      <c r="A2" s="2" t="inlineStr">
        <is>
          <t>Outil n1 de progression : ne pas reproduire une erreur</t>
        </is>
      </c>
    </row>
    <row r="3">
      <c r="A3" s="3" t="inlineStr">
        <is>
          <t>Date</t>
        </is>
      </c>
      <c r="B3" s="3" t="inlineStr">
        <is>
          <t>Dossier</t>
        </is>
      </c>
      <c r="C3" s="3" t="inlineStr">
        <is>
          <t>Erreur</t>
        </is>
      </c>
      <c r="D3" s="3" t="inlineStr">
        <is>
          <t>Cause</t>
        </is>
      </c>
      <c r="E3" s="3" t="inlineStr">
        <is>
          <t>Correction</t>
        </is>
      </c>
      <c r="F3" s="3" t="inlineStr">
        <is>
          <t>Action preventive</t>
        </is>
      </c>
    </row>
    <row r="4">
      <c r="A4" s="4" t="n"/>
      <c r="B4" s="4" t="n"/>
      <c r="C4" s="4" t="n"/>
      <c r="D4" s="4" t="n"/>
      <c r="E4" s="4" t="n"/>
      <c r="F4" s="4" t="n"/>
    </row>
    <row r="5">
      <c r="A5" s="4" t="n"/>
      <c r="B5" s="4" t="n"/>
      <c r="C5" s="4" t="n"/>
      <c r="D5" s="4" t="n"/>
      <c r="E5" s="4" t="n"/>
      <c r="F5" s="4" t="n"/>
    </row>
    <row r="6">
      <c r="A6" s="4" t="n"/>
      <c r="B6" s="4" t="n"/>
      <c r="C6" s="4" t="n"/>
      <c r="D6" s="4" t="n"/>
      <c r="E6" s="4" t="n"/>
      <c r="F6" s="4" t="n"/>
    </row>
    <row r="7">
      <c r="A7" s="4" t="n"/>
      <c r="B7" s="4" t="n"/>
      <c r="C7" s="4" t="n"/>
      <c r="D7" s="4" t="n"/>
      <c r="E7" s="4" t="n"/>
      <c r="F7" s="4" t="n"/>
    </row>
    <row r="8">
      <c r="A8" s="4" t="n"/>
      <c r="B8" s="4" t="n"/>
      <c r="C8" s="4" t="n"/>
      <c r="D8" s="4" t="n"/>
      <c r="E8" s="4" t="n"/>
      <c r="F8" s="4" t="n"/>
    </row>
    <row r="9">
      <c r="A9" s="4" t="n"/>
      <c r="B9" s="4" t="n"/>
      <c r="C9" s="4" t="n"/>
      <c r="D9" s="4" t="n"/>
      <c r="E9" s="4" t="n"/>
      <c r="F9" s="4" t="n"/>
    </row>
    <row r="10">
      <c r="A10" s="4" t="n"/>
      <c r="B10" s="4" t="n"/>
      <c r="C10" s="4" t="n"/>
      <c r="D10" s="4" t="n"/>
      <c r="E10" s="4" t="n"/>
      <c r="F10" s="4" t="n"/>
    </row>
    <row r="11">
      <c r="A11" s="4" t="n"/>
      <c r="B11" s="4" t="n"/>
      <c r="C11" s="4" t="n"/>
      <c r="D11" s="4" t="n"/>
      <c r="E11" s="4" t="n"/>
      <c r="F11" s="4" t="n"/>
    </row>
    <row r="12">
      <c r="A12" s="4" t="n"/>
      <c r="B12" s="4" t="n"/>
      <c r="C12" s="4" t="n"/>
      <c r="D12" s="4" t="n"/>
      <c r="E12" s="4" t="n"/>
      <c r="F12" s="4" t="n"/>
    </row>
    <row r="13">
      <c r="A13" s="4" t="n"/>
      <c r="B13" s="4" t="n"/>
      <c r="C13" s="4" t="n"/>
      <c r="D13" s="4" t="n"/>
      <c r="E13" s="4" t="n"/>
      <c r="F13" s="4" t="n"/>
    </row>
    <row r="14">
      <c r="A14" s="4" t="n"/>
      <c r="B14" s="4" t="n"/>
      <c r="C14" s="4" t="n"/>
      <c r="D14" s="4" t="n"/>
      <c r="E14" s="4" t="n"/>
      <c r="F14" s="4" t="n"/>
    </row>
    <row r="15">
      <c r="A15" s="4" t="n"/>
      <c r="B15" s="4" t="n"/>
      <c r="C15" s="4" t="n"/>
      <c r="D15" s="4" t="n"/>
      <c r="E15" s="4" t="n"/>
      <c r="F15" s="4" t="n"/>
    </row>
    <row r="16">
      <c r="A16" s="4" t="n"/>
      <c r="B16" s="4" t="n"/>
      <c r="C16" s="4" t="n"/>
      <c r="D16" s="4" t="n"/>
      <c r="E16" s="4" t="n"/>
      <c r="F16" s="4" t="n"/>
    </row>
    <row r="17">
      <c r="A17" s="4" t="n"/>
      <c r="B17" s="4" t="n"/>
      <c r="C17" s="4" t="n"/>
      <c r="D17" s="4" t="n"/>
      <c r="E17" s="4" t="n"/>
      <c r="F17" s="4" t="n"/>
    </row>
    <row r="18">
      <c r="A18" s="4" t="n"/>
      <c r="B18" s="4" t="n"/>
      <c r="C18" s="4" t="n"/>
      <c r="D18" s="4" t="n"/>
      <c r="E18" s="4" t="n"/>
      <c r="F18" s="4" t="n"/>
    </row>
    <row r="19">
      <c r="A19" s="4" t="n"/>
      <c r="B19" s="4" t="n"/>
      <c r="C19" s="4" t="n"/>
      <c r="D19" s="4" t="n"/>
      <c r="E19" s="4" t="n"/>
      <c r="F19" s="4" t="n"/>
    </row>
    <row r="20">
      <c r="A20" s="4" t="n"/>
      <c r="B20" s="4" t="n"/>
      <c r="C20" s="4" t="n"/>
      <c r="D20" s="4" t="n"/>
      <c r="E20" s="4" t="n"/>
      <c r="F20" s="4" t="n"/>
    </row>
    <row r="21">
      <c r="A21" s="4" t="n"/>
      <c r="B21" s="4" t="n"/>
      <c r="C21" s="4" t="n"/>
      <c r="D21" s="4" t="n"/>
      <c r="E21" s="4" t="n"/>
      <c r="F21" s="4" t="n"/>
    </row>
    <row r="22">
      <c r="A22" s="4" t="n"/>
      <c r="B22" s="4" t="n"/>
      <c r="C22" s="4" t="n"/>
      <c r="D22" s="4" t="n"/>
      <c r="E22" s="4" t="n"/>
      <c r="F22" s="4" t="n"/>
    </row>
    <row r="23">
      <c r="A23" s="4" t="n"/>
      <c r="B23" s="4" t="n"/>
      <c r="C23" s="4" t="n"/>
      <c r="D23" s="4" t="n"/>
      <c r="E23" s="4" t="n"/>
      <c r="F23" s="4" t="n"/>
    </row>
    <row r="24">
      <c r="A24" s="4" t="n"/>
      <c r="B24" s="4" t="n"/>
      <c r="C24" s="4" t="n"/>
      <c r="D24" s="4" t="n"/>
      <c r="E24" s="4" t="n"/>
      <c r="F24" s="4" t="n"/>
    </row>
    <row r="25">
      <c r="A25" s="4" t="n"/>
      <c r="B25" s="4" t="n"/>
      <c r="C25" s="4" t="n"/>
      <c r="D25" s="4" t="n"/>
      <c r="E25" s="4" t="n"/>
      <c r="F25" s="4" t="n"/>
    </row>
    <row r="26">
      <c r="A26" s="4" t="n"/>
      <c r="B26" s="4" t="n"/>
      <c r="C26" s="4" t="n"/>
      <c r="D26" s="4" t="n"/>
      <c r="E26" s="4" t="n"/>
      <c r="F26" s="4" t="n"/>
    </row>
    <row r="27">
      <c r="A27" s="4" t="n"/>
      <c r="B27" s="4" t="n"/>
      <c r="C27" s="4" t="n"/>
      <c r="D27" s="4" t="n"/>
      <c r="E27" s="4" t="n"/>
      <c r="F27" s="4" t="n"/>
    </row>
    <row r="28">
      <c r="A28" s="4" t="n"/>
      <c r="B28" s="4" t="n"/>
      <c r="C28" s="4" t="n"/>
      <c r="D28" s="4" t="n"/>
      <c r="E28" s="4" t="n"/>
      <c r="F28" s="4" t="n"/>
    </row>
    <row r="29">
      <c r="A29" s="4" t="n"/>
      <c r="B29" s="4" t="n"/>
      <c r="C29" s="4" t="n"/>
      <c r="D29" s="4" t="n"/>
      <c r="E29" s="4" t="n"/>
      <c r="F29" s="4" t="n"/>
    </row>
    <row r="30">
      <c r="A30" s="4" t="n"/>
      <c r="B30" s="4" t="n"/>
      <c r="C30" s="4" t="n"/>
      <c r="D30" s="4" t="n"/>
      <c r="E30" s="4" t="n"/>
      <c r="F30" s="4" t="n"/>
    </row>
    <row r="31">
      <c r="A31" s="4" t="n"/>
      <c r="B31" s="4" t="n"/>
      <c r="C31" s="4" t="n"/>
      <c r="D31" s="4" t="n"/>
      <c r="E31" s="4" t="n"/>
      <c r="F31" s="4" t="n"/>
    </row>
    <row r="32">
      <c r="A32" s="4" t="n"/>
      <c r="B32" s="4" t="n"/>
      <c r="C32" s="4" t="n"/>
      <c r="D32" s="4" t="n"/>
      <c r="E32" s="4" t="n"/>
      <c r="F32" s="4" t="n"/>
    </row>
    <row r="33">
      <c r="A33" s="4" t="n"/>
      <c r="B33" s="4" t="n"/>
      <c r="C33" s="4" t="n"/>
      <c r="D33" s="4" t="n"/>
      <c r="E33" s="4" t="n"/>
      <c r="F33" s="4" t="n"/>
    </row>
    <row r="34">
      <c r="A34" s="4" t="n"/>
      <c r="B34" s="4" t="n"/>
      <c r="C34" s="4" t="n"/>
      <c r="D34" s="4" t="n"/>
      <c r="E34" s="4" t="n"/>
      <c r="F34" s="4" t="n"/>
    </row>
    <row r="35">
      <c r="A35" s="4" t="n"/>
      <c r="B35" s="4" t="n"/>
      <c r="C35" s="4" t="n"/>
      <c r="D35" s="4" t="n"/>
      <c r="E35" s="4" t="n"/>
      <c r="F35" s="4" t="n"/>
    </row>
    <row r="36">
      <c r="A36" s="4" t="n"/>
      <c r="B36" s="4" t="n"/>
      <c r="C36" s="4" t="n"/>
      <c r="D36" s="4" t="n"/>
      <c r="E36" s="4" t="n"/>
      <c r="F36" s="4" t="n"/>
    </row>
    <row r="37">
      <c r="A37" s="4" t="n"/>
      <c r="B37" s="4" t="n"/>
      <c r="C37" s="4" t="n"/>
      <c r="D37" s="4" t="n"/>
      <c r="E37" s="4" t="n"/>
      <c r="F37" s="4" t="n"/>
    </row>
    <row r="38">
      <c r="A38" s="4" t="n"/>
      <c r="B38" s="4" t="n"/>
      <c r="C38" s="4" t="n"/>
      <c r="D38" s="4" t="n"/>
      <c r="E38" s="4" t="n"/>
      <c r="F38" s="4" t="n"/>
    </row>
    <row r="39">
      <c r="A39" s="4" t="n"/>
      <c r="B39" s="4" t="n"/>
      <c r="C39" s="4" t="n"/>
      <c r="D39" s="4" t="n"/>
      <c r="E39" s="4" t="n"/>
      <c r="F39" s="4" t="n"/>
    </row>
    <row r="40">
      <c r="A40" s="4" t="n"/>
      <c r="B40" s="4" t="n"/>
      <c r="C40" s="4" t="n"/>
      <c r="D40" s="4" t="n"/>
      <c r="E40" s="4" t="n"/>
      <c r="F40" s="4" t="n"/>
    </row>
    <row r="41">
      <c r="A41" s="4" t="n"/>
      <c r="B41" s="4" t="n"/>
      <c r="C41" s="4" t="n"/>
      <c r="D41" s="4" t="n"/>
      <c r="E41" s="4" t="n"/>
      <c r="F41" s="4" t="n"/>
    </row>
    <row r="42">
      <c r="A42" s="4" t="n"/>
      <c r="B42" s="4" t="n"/>
      <c r="C42" s="4" t="n"/>
      <c r="D42" s="4" t="n"/>
      <c r="E42" s="4" t="n"/>
      <c r="F42" s="4" t="n"/>
    </row>
    <row r="43">
      <c r="A43" s="4" t="n"/>
      <c r="B43" s="4" t="n"/>
      <c r="C43" s="4" t="n"/>
      <c r="D43" s="4" t="n"/>
      <c r="E43" s="4" t="n"/>
      <c r="F43" s="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20" customWidth="1" min="4" max="4"/>
    <col width="16" customWidth="1" min="5" max="5"/>
    <col width="16" customWidth="1" min="6" max="6"/>
    <col width="10" customWidth="1" min="7" max="7"/>
  </cols>
  <sheetData>
    <row r="1">
      <c r="A1" s="1" t="inlineStr">
        <is>
          <t>PLANNING MENSUEL MULTI-CLIENTS</t>
        </is>
      </c>
    </row>
    <row r="2">
      <c r="A2" s="2" t="inlineStr">
        <is>
          <t>Lisser la charge sur le mois</t>
        </is>
      </c>
    </row>
    <row r="3">
      <c r="A3" s="3" t="inlineStr">
        <is>
          <t>Client</t>
        </is>
      </c>
      <c r="B3" s="3" t="inlineStr">
        <is>
          <t>Regime TVA</t>
        </is>
      </c>
      <c r="C3" s="3" t="inlineStr">
        <is>
          <t>Echeance</t>
        </is>
      </c>
      <c r="D3" s="3" t="inlineStr">
        <is>
          <t>Reception pieces cible</t>
        </is>
      </c>
      <c r="E3" s="3" t="inlineStr">
        <is>
          <t>Livraison cible</t>
        </is>
      </c>
      <c r="F3" s="3" t="inlineStr">
        <is>
          <t>Charge estimee (h)</t>
        </is>
      </c>
      <c r="G3" s="3" t="inlineStr">
        <is>
          <t>Semaine</t>
        </is>
      </c>
    </row>
    <row r="4">
      <c r="A4" s="4" t="n"/>
      <c r="B4" s="4" t="n"/>
      <c r="C4" s="4" t="n"/>
      <c r="D4" s="4" t="n"/>
      <c r="E4" s="4" t="n"/>
      <c r="F4" s="4" t="n"/>
      <c r="G4" s="4" t="n"/>
    </row>
    <row r="5">
      <c r="A5" s="4" t="n"/>
      <c r="B5" s="4" t="n"/>
      <c r="C5" s="4" t="n"/>
      <c r="D5" s="4" t="n"/>
      <c r="E5" s="4" t="n"/>
      <c r="F5" s="4" t="n"/>
      <c r="G5" s="4" t="n"/>
    </row>
    <row r="6">
      <c r="A6" s="4" t="n"/>
      <c r="B6" s="4" t="n"/>
      <c r="C6" s="4" t="n"/>
      <c r="D6" s="4" t="n"/>
      <c r="E6" s="4" t="n"/>
      <c r="F6" s="4" t="n"/>
      <c r="G6" s="4" t="n"/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4" t="n"/>
      <c r="B16" s="4" t="n"/>
      <c r="C16" s="4" t="n"/>
      <c r="D16" s="4" t="n"/>
      <c r="E16" s="4" t="n"/>
      <c r="F16" s="4" t="n"/>
      <c r="G16" s="4" t="n"/>
    </row>
    <row r="17">
      <c r="A17" s="4" t="n"/>
      <c r="B17" s="4" t="n"/>
      <c r="C17" s="4" t="n"/>
      <c r="D17" s="4" t="n"/>
      <c r="E17" s="4" t="n"/>
      <c r="F17" s="4" t="n"/>
      <c r="G17" s="4" t="n"/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n"/>
      <c r="B20" s="4" t="n"/>
      <c r="C20" s="4" t="n"/>
      <c r="D20" s="4" t="n"/>
      <c r="E20" s="4" t="n"/>
      <c r="F20" s="4" t="n"/>
      <c r="G20" s="4" t="n"/>
    </row>
    <row r="21">
      <c r="A21" s="4" t="n"/>
      <c r="B21" s="4" t="n"/>
      <c r="C21" s="4" t="n"/>
      <c r="D21" s="4" t="n"/>
      <c r="E21" s="4" t="n"/>
      <c r="F21" s="4" t="n"/>
      <c r="G21" s="4" t="n"/>
    </row>
    <row r="22">
      <c r="A22" s="4" t="n"/>
      <c r="B22" s="4" t="n"/>
      <c r="C22" s="4" t="n"/>
      <c r="D22" s="4" t="n"/>
      <c r="E22" s="4" t="n"/>
      <c r="F22" s="4" t="n"/>
      <c r="G22" s="4" t="n"/>
    </row>
    <row r="23">
      <c r="A23" s="4" t="n"/>
      <c r="B23" s="4" t="n"/>
      <c r="C23" s="4" t="n"/>
      <c r="D23" s="4" t="n"/>
      <c r="E23" s="4" t="n"/>
      <c r="F23" s="4" t="n"/>
      <c r="G23" s="4" t="n"/>
    </row>
    <row r="24">
      <c r="A24" s="4" t="n"/>
      <c r="B24" s="4" t="n"/>
      <c r="C24" s="4" t="n"/>
      <c r="D24" s="4" t="n"/>
      <c r="E24" s="4" t="n"/>
      <c r="F24" s="4" t="n"/>
      <c r="G24" s="4" t="n"/>
    </row>
    <row r="25">
      <c r="A25" s="4" t="n"/>
      <c r="B25" s="4" t="n"/>
      <c r="C25" s="4" t="n"/>
      <c r="D25" s="4" t="n"/>
      <c r="E25" s="4" t="n"/>
      <c r="F25" s="4" t="n"/>
      <c r="G25" s="4" t="n"/>
    </row>
    <row r="26">
      <c r="A26" s="4" t="n"/>
      <c r="B26" s="4" t="n"/>
      <c r="C26" s="4" t="n"/>
      <c r="D26" s="4" t="n"/>
      <c r="E26" s="4" t="n"/>
      <c r="F26" s="4" t="n"/>
      <c r="G26" s="4" t="n"/>
    </row>
    <row r="27">
      <c r="A27" s="4" t="n"/>
      <c r="B27" s="4" t="n"/>
      <c r="C27" s="4" t="n"/>
      <c r="D27" s="4" t="n"/>
      <c r="E27" s="4" t="n"/>
      <c r="F27" s="4" t="n"/>
      <c r="G27" s="4" t="n"/>
    </row>
    <row r="28">
      <c r="A28" s="4" t="n"/>
      <c r="B28" s="4" t="n"/>
      <c r="C28" s="4" t="n"/>
      <c r="D28" s="4" t="n"/>
      <c r="E28" s="4" t="n"/>
      <c r="F28" s="4" t="n"/>
      <c r="G28" s="4" t="n"/>
    </row>
    <row r="29">
      <c r="A29" s="4" t="n"/>
      <c r="B29" s="4" t="n"/>
      <c r="C29" s="4" t="n"/>
      <c r="D29" s="4" t="n"/>
      <c r="E29" s="4" t="n"/>
      <c r="F29" s="4" t="n"/>
      <c r="G29" s="4" t="n"/>
    </row>
    <row r="30">
      <c r="A30" s="4" t="n"/>
      <c r="B30" s="4" t="n"/>
      <c r="C30" s="4" t="n"/>
      <c r="D30" s="4" t="n"/>
      <c r="E30" s="4" t="n"/>
      <c r="F30" s="4" t="n"/>
      <c r="G30" s="4" t="n"/>
    </row>
    <row r="31">
      <c r="A31" s="4" t="n"/>
      <c r="B31" s="4" t="n"/>
      <c r="C31" s="4" t="n"/>
      <c r="D31" s="4" t="n"/>
      <c r="E31" s="4" t="n"/>
      <c r="F31" s="4" t="n"/>
      <c r="G31" s="4" t="n"/>
    </row>
    <row r="32">
      <c r="A32" s="4" t="n"/>
      <c r="B32" s="4" t="n"/>
      <c r="C32" s="4" t="n"/>
      <c r="D32" s="4" t="n"/>
      <c r="E32" s="4" t="n"/>
      <c r="F32" s="4" t="n"/>
      <c r="G32" s="4" t="n"/>
    </row>
    <row r="33">
      <c r="A33" s="4" t="n"/>
      <c r="B33" s="4" t="n"/>
      <c r="C33" s="4" t="n"/>
      <c r="D33" s="4" t="n"/>
      <c r="E33" s="4" t="n"/>
      <c r="F33" s="4" t="n"/>
      <c r="G33" s="4" t="n"/>
    </row>
    <row r="34">
      <c r="A34" s="4" t="n"/>
      <c r="B34" s="4" t="n"/>
      <c r="C34" s="4" t="n"/>
      <c r="D34" s="4" t="n"/>
      <c r="E34" s="4" t="n"/>
      <c r="F34" s="4" t="n"/>
      <c r="G34" s="4" t="n"/>
    </row>
    <row r="35">
      <c r="A35" s="4" t="n"/>
      <c r="B35" s="4" t="n"/>
      <c r="C35" s="4" t="n"/>
      <c r="D35" s="4" t="n"/>
      <c r="E35" s="4" t="n"/>
      <c r="F35" s="4" t="n"/>
      <c r="G35" s="4" t="n"/>
    </row>
    <row r="36">
      <c r="A36" s="4" t="n"/>
      <c r="B36" s="4" t="n"/>
      <c r="C36" s="4" t="n"/>
      <c r="D36" s="4" t="n"/>
      <c r="E36" s="4" t="n"/>
      <c r="F36" s="4" t="n"/>
      <c r="G36" s="4" t="n"/>
    </row>
    <row r="37">
      <c r="A37" s="4" t="n"/>
      <c r="B37" s="4" t="n"/>
      <c r="C37" s="4" t="n"/>
      <c r="D37" s="4" t="n"/>
      <c r="E37" s="4" t="n"/>
      <c r="F37" s="4" t="n"/>
      <c r="G37" s="4" t="n"/>
    </row>
    <row r="38">
      <c r="A38" s="4" t="n"/>
      <c r="B38" s="4" t="n"/>
      <c r="C38" s="4" t="n"/>
      <c r="D38" s="4" t="n"/>
      <c r="E38" s="4" t="n"/>
      <c r="F38" s="4" t="n"/>
      <c r="G38" s="4" t="n"/>
    </row>
    <row r="39">
      <c r="A39" s="4" t="n"/>
      <c r="B39" s="4" t="n"/>
      <c r="C39" s="4" t="n"/>
      <c r="D39" s="4" t="n"/>
      <c r="E39" s="4" t="n"/>
      <c r="F39" s="4" t="n"/>
      <c r="G39" s="4" t="n"/>
    </row>
    <row r="40">
      <c r="A40" s="4" t="n"/>
      <c r="B40" s="4" t="n"/>
      <c r="C40" s="4" t="n"/>
      <c r="D40" s="4" t="n"/>
      <c r="E40" s="4" t="n"/>
      <c r="F40" s="4" t="n"/>
      <c r="G40" s="4" t="n"/>
    </row>
    <row r="41">
      <c r="A41" s="4" t="n"/>
      <c r="B41" s="4" t="n"/>
      <c r="C41" s="4" t="n"/>
      <c r="D41" s="4" t="n"/>
      <c r="E41" s="4" t="n"/>
      <c r="F41" s="4" t="n"/>
      <c r="G41" s="4" t="n"/>
    </row>
    <row r="42">
      <c r="A42" s="4" t="n"/>
      <c r="B42" s="4" t="n"/>
      <c r="C42" s="4" t="n"/>
      <c r="D42" s="4" t="n"/>
      <c r="E42" s="4" t="n"/>
      <c r="F42" s="4" t="n"/>
      <c r="G42" s="4" t="n"/>
    </row>
    <row r="43">
      <c r="A43" s="4" t="n"/>
      <c r="B43" s="4" t="n"/>
      <c r="C43" s="4" t="n"/>
      <c r="D43" s="4" t="n"/>
      <c r="E43" s="4" t="n"/>
      <c r="F43" s="4" t="n"/>
      <c r="G4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2026-06-04T04:16:43Z</dcterms:created>
  <dcterms:modified xsi:type="dcterms:W3CDTF">2026-06-04T04:16:43Z</dcterms:modified>
</cp:coreProperties>
</file>